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ensions" sheetId="1" r:id="rId4"/>
    <sheet state="visible" name="Explosives Dimensions" sheetId="2" r:id="rId5"/>
  </sheets>
  <definedNames/>
  <calcPr/>
</workbook>
</file>

<file path=xl/sharedStrings.xml><?xml version="1.0" encoding="utf-8"?>
<sst xmlns="http://schemas.openxmlformats.org/spreadsheetml/2006/main" count="156" uniqueCount="118">
  <si>
    <t>Component</t>
  </si>
  <si>
    <t>Material</t>
  </si>
  <si>
    <t>Thickness</t>
  </si>
  <si>
    <t>(Outer) Diameter</t>
  </si>
  <si>
    <t>Radius</t>
  </si>
  <si>
    <t>(in)</t>
  </si>
  <si>
    <t>(mm)</t>
  </si>
  <si>
    <t>Notes</t>
  </si>
  <si>
    <t>Urchin</t>
  </si>
  <si>
    <t>Berylium &amp; Polonium</t>
  </si>
  <si>
    <t>Core</t>
  </si>
  <si>
    <t>Plutonium</t>
  </si>
  <si>
    <t>includes 5 thou silver/nickel plating</t>
  </si>
  <si>
    <t>Tamper</t>
  </si>
  <si>
    <t>Uranium</t>
  </si>
  <si>
    <t>Shell</t>
  </si>
  <si>
    <t>Boron Plastic</t>
  </si>
  <si>
    <t>Pusher</t>
  </si>
  <si>
    <t>Aluminium-Boron</t>
  </si>
  <si>
    <t>Pusher Pad</t>
  </si>
  <si>
    <t>Felt</t>
  </si>
  <si>
    <t>compressed thickness</t>
  </si>
  <si>
    <t>Booster</t>
  </si>
  <si>
    <t>Composition B</t>
  </si>
  <si>
    <t>Booster Pad</t>
  </si>
  <si>
    <t>Lens</t>
  </si>
  <si>
    <t>Baratol &amp; CompB</t>
  </si>
  <si>
    <t>Filler</t>
  </si>
  <si>
    <t>Cork</t>
  </si>
  <si>
    <t>Dural</t>
  </si>
  <si>
    <t>Case</t>
  </si>
  <si>
    <t>Steel</t>
  </si>
  <si>
    <t>Compressed Sphere diameter:</t>
  </si>
  <si>
    <t>Shell I.D.:</t>
  </si>
  <si>
    <t>http://www.cartage.org.lb/en/themes/Sciences/Chemistry/NuclearChemistry/NuclearWeapons/FirstChainReaction/FirstNuclWeapons</t>
  </si>
  <si>
    <t>Tamper'</t>
  </si>
  <si>
    <t>Tamper'?</t>
  </si>
  <si>
    <t>Total Explosives'</t>
  </si>
  <si>
    <t>Pad</t>
  </si>
  <si>
    <t>Total Width'</t>
  </si>
  <si>
    <t>Accuracy of Explosives: &lt;1mm</t>
  </si>
  <si>
    <t>Plug: 80kg</t>
  </si>
  <si>
    <t>JCM &amp; RR Books</t>
  </si>
  <si>
    <t>Urchin inside surfaces plated with Nickel and Gold and then Polonium</t>
  </si>
  <si>
    <t>Urchin-Core (gold-filled) Air Gap:</t>
  </si>
  <si>
    <t>Core-Plug (gold-filled) Air Gap:</t>
  </si>
  <si>
    <t>Pusher hemis: few thou tolerance</t>
  </si>
  <si>
    <t>(gold foil shims)</t>
  </si>
  <si>
    <t>Air Gaps can cause problems if &gt;:</t>
  </si>
  <si>
    <t>(blotter paper shims)</t>
  </si>
  <si>
    <t>Distance from Detonator to Slow Explosive:</t>
  </si>
  <si>
    <t>Explosives when fully compressed by Cork Liner:</t>
  </si>
  <si>
    <t>Boron Plastic Shell glued to Pusher prior to assembly (hemi's and plug)</t>
  </si>
  <si>
    <t>Dural Shell:</t>
  </si>
  <si>
    <t>five equitorial plates and two polar caps</t>
  </si>
  <si>
    <t>eight 3.0" (76.2mm) cubes cast into all five equitorial plates</t>
  </si>
  <si>
    <t>square attachement points on either side of the sphere -- four large bolts</t>
  </si>
  <si>
    <t>inner diameter:</t>
  </si>
  <si>
    <t>Cork Lining (compressed) thickness:</t>
  </si>
  <si>
    <t>amount of compression:</t>
  </si>
  <si>
    <t>https://nuclearweaponarchive.org/Nwfaq/Nfaq8.html</t>
  </si>
  <si>
    <t>Chapter 4:</t>
  </si>
  <si>
    <t>Core Electroplated Silver Coating:</t>
  </si>
  <si>
    <t>(Trinity used Silver, Fat Man used Nickel)</t>
  </si>
  <si>
    <t>Total assembly:</t>
  </si>
  <si>
    <t>Explosive Lens Total Thickness:</t>
  </si>
  <si>
    <t>Explosive Lenses Thickness:</t>
  </si>
  <si>
    <t>Booster Blocks Thickness:</t>
  </si>
  <si>
    <t>Pusher Thickness:</t>
  </si>
  <si>
    <t xml:space="preserve">Dural Shell '1561': </t>
  </si>
  <si>
    <t>5x Equitorial Zone Plates and 2x Polar Caps, 90x Bolts</t>
  </si>
  <si>
    <t>thickness:</t>
  </si>
  <si>
    <t>I.D.</t>
  </si>
  <si>
    <t>O.D.</t>
  </si>
  <si>
    <t>Steel Ballistic Case:</t>
  </si>
  <si>
    <t>diameter:</t>
  </si>
  <si>
    <t>Chapter 8:</t>
  </si>
  <si>
    <t>(cavity in Core: 21mm)</t>
  </si>
  <si>
    <t>Gold Leaf</t>
  </si>
  <si>
    <t>Silver/Nickel Plating</t>
  </si>
  <si>
    <t>Boron Shell</t>
  </si>
  <si>
    <t>Cork (compressed)</t>
  </si>
  <si>
    <t>Cork (uncompressed)</t>
  </si>
  <si>
    <t>Shell I.D.</t>
  </si>
  <si>
    <t>Shell O.D.</t>
  </si>
  <si>
    <t>Case I.D.</t>
  </si>
  <si>
    <t>Case O.D.</t>
  </si>
  <si>
    <t>Explosives Stack (1x pad)</t>
  </si>
  <si>
    <t>(difference)</t>
  </si>
  <si>
    <t>Explosives Stack (2x pad)</t>
  </si>
  <si>
    <t>JCM</t>
  </si>
  <si>
    <t>Tamper diameter:</t>
  </si>
  <si>
    <t>Boron Shell thick (brownish-black color):</t>
  </si>
  <si>
    <t>Pusher diameter:</t>
  </si>
  <si>
    <t>Boosters thick:</t>
  </si>
  <si>
    <t>Lens thick:</t>
  </si>
  <si>
    <t>Lens edge length:</t>
  </si>
  <si>
    <t>Total Expl Thickness:</t>
  </si>
  <si>
    <t xml:space="preserve">Compressed Diameter: </t>
  </si>
  <si>
    <t>Cork Liner (compressed thickness):</t>
  </si>
  <si>
    <t>Shell Thickness:</t>
  </si>
  <si>
    <t>FatMan</t>
  </si>
  <si>
    <t>length</t>
  </si>
  <si>
    <t>diameter</t>
  </si>
  <si>
    <t>Ballistic Case:</t>
  </si>
  <si>
    <t>thickness</t>
  </si>
  <si>
    <t>Rubber Pressure Pads</t>
  </si>
  <si>
    <t>?</t>
  </si>
  <si>
    <t>CAD</t>
  </si>
  <si>
    <t>Measured</t>
  </si>
  <si>
    <t>1:1</t>
  </si>
  <si>
    <t>1:4</t>
  </si>
  <si>
    <t>Delta</t>
  </si>
  <si>
    <t>Hexagonal Pyramid</t>
  </si>
  <si>
    <t>Top</t>
  </si>
  <si>
    <t>Side</t>
  </si>
  <si>
    <t>Bottom</t>
  </si>
  <si>
    <t>Pentagonal Pyramid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</si>
</sst>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"/>
    <numFmt numFmtId="166" formatCode="0.0"/>
    <numFmt numFmtId="167" formatCode="#,##0.00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</font>
    <font/>
  </fonts>
  <fills count="10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A2C4C9"/>
        <bgColor rgb="FFA2C4C9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0" fillId="2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Font="1"/>
    <xf borderId="0" fillId="0" fontId="2" numFmtId="2" xfId="0" applyFont="1" applyNumberFormat="1"/>
    <xf borderId="0" fillId="4" fontId="2" numFmtId="0" xfId="0" applyFill="1" applyFon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2" numFmtId="165" xfId="0" applyFont="1" applyNumberFormat="1"/>
    <xf borderId="0" fillId="0" fontId="1" numFmtId="0" xfId="0" applyAlignment="1" applyFont="1">
      <alignment readingOrder="0"/>
    </xf>
    <xf borderId="0" fillId="0" fontId="2" numFmtId="166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center" readingOrder="0"/>
    </xf>
    <xf borderId="0" fillId="7" fontId="2" numFmtId="2" xfId="0" applyAlignment="1" applyFont="1" applyNumberFormat="1">
      <alignment readingOrder="0"/>
    </xf>
    <xf borderId="0" fillId="9" fontId="2" numFmtId="2" xfId="0" applyAlignment="1" applyFill="1" applyFont="1" applyNumberFormat="1">
      <alignment readingOrder="0"/>
    </xf>
    <xf borderId="0" fillId="9" fontId="2" numFmtId="0" xfId="0" applyAlignment="1" applyFont="1">
      <alignment readingOrder="0"/>
    </xf>
    <xf borderId="0" fillId="7" fontId="2" numFmtId="165" xfId="0" applyAlignment="1" applyFont="1" applyNumberFormat="1">
      <alignment readingOrder="0"/>
    </xf>
    <xf borderId="0" fillId="0" fontId="2" numFmtId="167" xfId="0" applyFont="1" applyNumberFormat="1"/>
    <xf borderId="2" fillId="0" fontId="1" numFmtId="0" xfId="0" applyAlignment="1" applyBorder="1" applyFont="1">
      <alignment horizontal="center"/>
    </xf>
    <xf borderId="2" fillId="0" fontId="4" numFmtId="0" xfId="0" applyBorder="1" applyFont="1"/>
    <xf borderId="1" fillId="0" fontId="2" numFmtId="0" xfId="0" applyBorder="1" applyFont="1"/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readingOrder="0"/>
    </xf>
    <xf borderId="2" fillId="0" fontId="2" numFmtId="0" xfId="0" applyBorder="1" applyFont="1"/>
    <xf borderId="2" fillId="0" fontId="2" numFmtId="0" xfId="0" applyAlignment="1" applyBorder="1" applyFont="1">
      <alignment readingOrder="0"/>
    </xf>
    <xf borderId="2" fillId="0" fontId="2" numFmtId="2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cartage.org.lb/en/themes/Sciences/Chemistry/NuclearChemistry/NuclearWeapons/FirstChainReaction/FirstNuclWeapons" TargetMode="External"/><Relationship Id="rId2" Type="http://schemas.openxmlformats.org/officeDocument/2006/relationships/hyperlink" Target="https://nuclearweaponarchive.org/Nwfaq/Nfaq8.html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5"/>
  </cols>
  <sheetData>
    <row r="1">
      <c r="A1" s="1" t="s">
        <v>0</v>
      </c>
      <c r="B1" s="1" t="s">
        <v>1</v>
      </c>
      <c r="C1" s="1" t="s">
        <v>2</v>
      </c>
      <c r="E1" s="1" t="s">
        <v>3</v>
      </c>
      <c r="G1" s="1" t="s">
        <v>4</v>
      </c>
      <c r="H1" s="1"/>
      <c r="I1" s="1"/>
    </row>
    <row r="2">
      <c r="A2" s="2"/>
      <c r="B2" s="2"/>
      <c r="C2" s="3" t="s">
        <v>5</v>
      </c>
      <c r="D2" s="3" t="s">
        <v>6</v>
      </c>
      <c r="E2" s="3" t="s">
        <v>5</v>
      </c>
      <c r="F2" s="3" t="s">
        <v>6</v>
      </c>
      <c r="G2" s="3" t="s">
        <v>6</v>
      </c>
      <c r="H2" s="3"/>
      <c r="I2" s="3" t="s">
        <v>7</v>
      </c>
    </row>
    <row r="3">
      <c r="A3" s="4" t="s">
        <v>8</v>
      </c>
      <c r="B3" s="5" t="s">
        <v>9</v>
      </c>
      <c r="C3" s="6">
        <f>CONVERT(D3, "mm", "in")</f>
        <v>0.2362204724</v>
      </c>
      <c r="D3" s="7">
        <v>6.0</v>
      </c>
      <c r="E3" s="8">
        <v>0.8</v>
      </c>
      <c r="F3" s="9">
        <f t="shared" ref="F3:F11" si="1">CONVERT(E3, "in", "mm")</f>
        <v>20.32</v>
      </c>
      <c r="G3" s="9">
        <f t="shared" ref="G3:G11" si="2">F3/2</f>
        <v>10.16</v>
      </c>
    </row>
    <row r="4">
      <c r="A4" s="4" t="s">
        <v>10</v>
      </c>
      <c r="B4" s="5" t="s">
        <v>11</v>
      </c>
      <c r="C4" s="7">
        <f t="shared" ref="C4:C5" si="3">E4-E3</f>
        <v>2.82</v>
      </c>
      <c r="D4" s="7">
        <f t="shared" ref="D4:D11" si="4">CONVERT(C4, "in", "mm")</f>
        <v>71.628</v>
      </c>
      <c r="E4" s="8">
        <v>3.62</v>
      </c>
      <c r="F4" s="10">
        <f t="shared" si="1"/>
        <v>91.948</v>
      </c>
      <c r="G4" s="10">
        <f t="shared" si="2"/>
        <v>45.974</v>
      </c>
      <c r="I4" s="5" t="s">
        <v>12</v>
      </c>
    </row>
    <row r="5">
      <c r="A5" s="4" t="s">
        <v>13</v>
      </c>
      <c r="B5" s="5" t="s">
        <v>14</v>
      </c>
      <c r="C5" s="7">
        <f t="shared" si="3"/>
        <v>5.13</v>
      </c>
      <c r="D5" s="7">
        <f t="shared" si="4"/>
        <v>130.302</v>
      </c>
      <c r="E5" s="8">
        <v>8.75</v>
      </c>
      <c r="F5" s="9">
        <f t="shared" si="1"/>
        <v>222.25</v>
      </c>
      <c r="G5" s="10">
        <f t="shared" si="2"/>
        <v>111.125</v>
      </c>
    </row>
    <row r="6">
      <c r="A6" s="4" t="s">
        <v>15</v>
      </c>
      <c r="B6" s="5" t="s">
        <v>16</v>
      </c>
      <c r="C6" s="8">
        <v>0.125</v>
      </c>
      <c r="D6" s="7">
        <f t="shared" si="4"/>
        <v>3.175</v>
      </c>
      <c r="E6" s="9">
        <f t="shared" ref="E6:E11" si="5">E5+(2*C6)</f>
        <v>9</v>
      </c>
      <c r="F6" s="10">
        <f t="shared" si="1"/>
        <v>228.6</v>
      </c>
      <c r="G6" s="10">
        <f t="shared" si="2"/>
        <v>114.3</v>
      </c>
    </row>
    <row r="7">
      <c r="A7" s="4" t="s">
        <v>17</v>
      </c>
      <c r="B7" s="5" t="s">
        <v>18</v>
      </c>
      <c r="C7" s="8">
        <v>4.75</v>
      </c>
      <c r="D7" s="5">
        <f t="shared" si="4"/>
        <v>120.65</v>
      </c>
      <c r="E7" s="11">
        <f t="shared" si="5"/>
        <v>18.5</v>
      </c>
      <c r="F7" s="10">
        <f t="shared" si="1"/>
        <v>469.9</v>
      </c>
      <c r="G7" s="9">
        <f t="shared" si="2"/>
        <v>234.95</v>
      </c>
    </row>
    <row r="8">
      <c r="A8" s="4" t="s">
        <v>19</v>
      </c>
      <c r="B8" s="5" t="s">
        <v>20</v>
      </c>
      <c r="C8" s="12">
        <f>0.0625/2</f>
        <v>0.03125</v>
      </c>
      <c r="D8" s="7">
        <f t="shared" si="4"/>
        <v>0.79375</v>
      </c>
      <c r="E8" s="9">
        <f t="shared" si="5"/>
        <v>18.5625</v>
      </c>
      <c r="F8" s="10">
        <f t="shared" si="1"/>
        <v>471.4875</v>
      </c>
      <c r="G8" s="10">
        <f t="shared" si="2"/>
        <v>235.74375</v>
      </c>
      <c r="I8" s="5" t="s">
        <v>21</v>
      </c>
    </row>
    <row r="9">
      <c r="A9" s="4" t="s">
        <v>22</v>
      </c>
      <c r="B9" s="5" t="s">
        <v>23</v>
      </c>
      <c r="C9" s="13">
        <f>8.875</f>
        <v>8.875</v>
      </c>
      <c r="D9" s="7">
        <f t="shared" si="4"/>
        <v>225.425</v>
      </c>
      <c r="E9" s="9">
        <f t="shared" si="5"/>
        <v>36.3125</v>
      </c>
      <c r="F9" s="10">
        <f t="shared" si="1"/>
        <v>922.3375</v>
      </c>
      <c r="G9" s="10">
        <f t="shared" si="2"/>
        <v>461.16875</v>
      </c>
    </row>
    <row r="10">
      <c r="A10" s="4" t="s">
        <v>24</v>
      </c>
      <c r="B10" s="5" t="s">
        <v>20</v>
      </c>
      <c r="C10" s="12">
        <f>0.0625/2</f>
        <v>0.03125</v>
      </c>
      <c r="D10" s="7">
        <f t="shared" si="4"/>
        <v>0.79375</v>
      </c>
      <c r="E10" s="9">
        <f t="shared" si="5"/>
        <v>36.375</v>
      </c>
      <c r="F10" s="10">
        <f t="shared" si="1"/>
        <v>923.925</v>
      </c>
      <c r="G10" s="10">
        <f t="shared" si="2"/>
        <v>461.9625</v>
      </c>
      <c r="I10" s="5" t="s">
        <v>21</v>
      </c>
    </row>
    <row r="11">
      <c r="A11" s="4" t="s">
        <v>25</v>
      </c>
      <c r="B11" s="5" t="s">
        <v>26</v>
      </c>
      <c r="C11" s="14">
        <v>9.0</v>
      </c>
      <c r="D11" s="7">
        <f t="shared" si="4"/>
        <v>228.6</v>
      </c>
      <c r="E11" s="9">
        <f t="shared" si="5"/>
        <v>54.375</v>
      </c>
      <c r="F11" s="10">
        <f t="shared" si="1"/>
        <v>1381.125</v>
      </c>
      <c r="G11" s="10">
        <f t="shared" si="2"/>
        <v>690.5625</v>
      </c>
    </row>
    <row r="12">
      <c r="A12" s="5"/>
      <c r="B12" s="5"/>
      <c r="C12" s="5"/>
      <c r="D12" s="5"/>
      <c r="I12" s="5"/>
    </row>
    <row r="13">
      <c r="A13" s="4" t="s">
        <v>27</v>
      </c>
      <c r="B13" s="5" t="s">
        <v>28</v>
      </c>
      <c r="C13" s="15">
        <v>0.4375</v>
      </c>
      <c r="D13" s="7">
        <f t="shared" ref="D13:D14" si="6">CONVERT(C13, "in", "mm")</f>
        <v>11.1125</v>
      </c>
      <c r="E13" s="9">
        <f>E11+(2*C13)</f>
        <v>55.25</v>
      </c>
      <c r="F13" s="9">
        <f t="shared" ref="F13:F14" si="7">CONVERT(E13, "in", "mm")</f>
        <v>1403.35</v>
      </c>
      <c r="G13" s="10">
        <f t="shared" ref="G13:G14" si="8">F13/2</f>
        <v>701.675</v>
      </c>
      <c r="I13" s="5" t="s">
        <v>21</v>
      </c>
    </row>
    <row r="14">
      <c r="A14" s="4" t="s">
        <v>15</v>
      </c>
      <c r="B14" s="5" t="s">
        <v>29</v>
      </c>
      <c r="C14" s="5">
        <v>1.5</v>
      </c>
      <c r="D14" s="7">
        <f t="shared" si="6"/>
        <v>38.1</v>
      </c>
      <c r="E14" s="5">
        <f>E13+(2*C14)</f>
        <v>58.25</v>
      </c>
      <c r="F14" s="9">
        <f t="shared" si="7"/>
        <v>1479.55</v>
      </c>
      <c r="G14" s="10">
        <f t="shared" si="8"/>
        <v>739.775</v>
      </c>
    </row>
    <row r="15">
      <c r="A15" s="5"/>
      <c r="B15" s="5"/>
      <c r="C15" s="5"/>
      <c r="D15" s="5"/>
      <c r="E15" s="5"/>
    </row>
    <row r="16">
      <c r="A16" s="4" t="s">
        <v>30</v>
      </c>
      <c r="B16" s="5" t="s">
        <v>31</v>
      </c>
      <c r="C16" s="13">
        <v>0.375</v>
      </c>
      <c r="D16" s="7">
        <f>CONVERT(C16, "in", "mm")</f>
        <v>9.525</v>
      </c>
      <c r="E16" s="13">
        <v>60.25</v>
      </c>
      <c r="F16" s="9">
        <f>CONVERT(E16, "in", "mm")</f>
        <v>1530.35</v>
      </c>
      <c r="G16" s="10">
        <f>F16/2</f>
        <v>765.175</v>
      </c>
    </row>
    <row r="18">
      <c r="C18" s="5" t="s">
        <v>32</v>
      </c>
      <c r="E18" s="13">
        <v>54.375</v>
      </c>
    </row>
    <row r="19">
      <c r="D19" s="5" t="s">
        <v>33</v>
      </c>
      <c r="E19" s="13">
        <v>55.25</v>
      </c>
    </row>
    <row r="21">
      <c r="A21" s="16" t="s">
        <v>34</v>
      </c>
    </row>
    <row r="22">
      <c r="A22" s="5" t="s">
        <v>35</v>
      </c>
      <c r="C22" s="17">
        <f>D22/25.4</f>
        <v>4.527559055</v>
      </c>
      <c r="D22" s="8">
        <v>115.0</v>
      </c>
    </row>
    <row r="23">
      <c r="A23" s="5" t="s">
        <v>36</v>
      </c>
      <c r="C23" s="8">
        <v>4.5</v>
      </c>
      <c r="D23" s="5">
        <f>C23*25.4</f>
        <v>114.3</v>
      </c>
    </row>
    <row r="25">
      <c r="A25" s="5" t="s">
        <v>37</v>
      </c>
      <c r="D25" s="8">
        <v>470.0</v>
      </c>
    </row>
    <row r="26">
      <c r="A26" s="5" t="s">
        <v>22</v>
      </c>
      <c r="C26" s="8">
        <v>9.0</v>
      </c>
      <c r="D26" s="9">
        <f t="shared" ref="D26:D29" si="9">CONVERT(C26, "in", "mm")</f>
        <v>228.6</v>
      </c>
    </row>
    <row r="27">
      <c r="A27" s="5" t="s">
        <v>38</v>
      </c>
      <c r="C27" s="8">
        <v>0.05</v>
      </c>
      <c r="D27" s="9">
        <f t="shared" si="9"/>
        <v>1.27</v>
      </c>
    </row>
    <row r="28">
      <c r="A28" s="5" t="s">
        <v>25</v>
      </c>
      <c r="C28" s="8">
        <v>8.875</v>
      </c>
      <c r="D28" s="9">
        <f t="shared" si="9"/>
        <v>225.425</v>
      </c>
    </row>
    <row r="29">
      <c r="A29" s="5" t="s">
        <v>28</v>
      </c>
      <c r="C29" s="8">
        <v>0.5</v>
      </c>
      <c r="D29" s="9">
        <f t="shared" si="9"/>
        <v>12.7</v>
      </c>
    </row>
    <row r="30">
      <c r="D30" s="9">
        <f>sum(D26:D29)</f>
        <v>467.995</v>
      </c>
    </row>
    <row r="31">
      <c r="A31" s="5" t="s">
        <v>39</v>
      </c>
    </row>
    <row r="33">
      <c r="A33" s="5" t="s">
        <v>40</v>
      </c>
    </row>
    <row r="34">
      <c r="A34" s="5" t="s">
        <v>41</v>
      </c>
    </row>
    <row r="36">
      <c r="A36" s="18" t="s">
        <v>42</v>
      </c>
    </row>
    <row r="37">
      <c r="A37" s="5" t="s">
        <v>43</v>
      </c>
      <c r="C37" s="5"/>
    </row>
    <row r="38">
      <c r="A38" s="5" t="s">
        <v>44</v>
      </c>
      <c r="C38" s="8">
        <v>5.0E-4</v>
      </c>
      <c r="D38" s="9">
        <f t="shared" ref="D38:D41" si="10">CONVERT(C38, "in", "mm")</f>
        <v>0.0127</v>
      </c>
    </row>
    <row r="39">
      <c r="A39" s="5" t="s">
        <v>45</v>
      </c>
      <c r="C39" s="8">
        <v>5.0E-4</v>
      </c>
      <c r="D39" s="9">
        <f t="shared" si="10"/>
        <v>0.0127</v>
      </c>
    </row>
    <row r="40">
      <c r="A40" s="5" t="s">
        <v>46</v>
      </c>
      <c r="C40" s="8">
        <v>3.0E-4</v>
      </c>
      <c r="D40" s="9">
        <f t="shared" si="10"/>
        <v>0.00762</v>
      </c>
      <c r="E40" s="5" t="s">
        <v>47</v>
      </c>
    </row>
    <row r="41">
      <c r="A41" s="5" t="s">
        <v>48</v>
      </c>
      <c r="C41" s="8">
        <v>0.03</v>
      </c>
      <c r="D41" s="9">
        <f t="shared" si="10"/>
        <v>0.762</v>
      </c>
      <c r="E41" s="5" t="s">
        <v>49</v>
      </c>
    </row>
    <row r="42">
      <c r="A42" s="5" t="s">
        <v>50</v>
      </c>
      <c r="D42" s="5">
        <v>100.0</v>
      </c>
    </row>
    <row r="43">
      <c r="A43" s="5" t="s">
        <v>51</v>
      </c>
      <c r="E43" s="8">
        <v>54.375</v>
      </c>
      <c r="F43" s="9">
        <f>CONVERT(E43, "in", "mm")</f>
        <v>1381.125</v>
      </c>
    </row>
    <row r="44">
      <c r="A44" s="5" t="s">
        <v>52</v>
      </c>
    </row>
    <row r="45">
      <c r="A45" s="5" t="s">
        <v>53</v>
      </c>
    </row>
    <row r="46">
      <c r="B46" s="5" t="s">
        <v>54</v>
      </c>
    </row>
    <row r="47">
      <c r="B47" s="5" t="s">
        <v>55</v>
      </c>
    </row>
    <row r="48">
      <c r="B48" s="5" t="s">
        <v>56</v>
      </c>
    </row>
    <row r="49">
      <c r="B49" s="5" t="s">
        <v>57</v>
      </c>
      <c r="E49" s="8">
        <v>55.25</v>
      </c>
      <c r="F49" s="9">
        <f t="shared" ref="F49:F51" si="11">CONVERT(E49, "in", "mm")</f>
        <v>1403.35</v>
      </c>
    </row>
    <row r="50">
      <c r="A50" s="5" t="s">
        <v>58</v>
      </c>
      <c r="E50" s="8">
        <f>(E49-E43)/2</f>
        <v>0.4375</v>
      </c>
      <c r="F50" s="9">
        <f t="shared" si="11"/>
        <v>11.1125</v>
      </c>
    </row>
    <row r="51">
      <c r="B51" s="5" t="s">
        <v>59</v>
      </c>
      <c r="E51" s="9">
        <f>E50-0.5</f>
        <v>-0.0625</v>
      </c>
      <c r="F51" s="9">
        <f t="shared" si="11"/>
        <v>-1.5875</v>
      </c>
    </row>
    <row r="53">
      <c r="A53" s="16" t="s">
        <v>60</v>
      </c>
    </row>
    <row r="54">
      <c r="A54" s="18" t="s">
        <v>61</v>
      </c>
    </row>
    <row r="55">
      <c r="A55" s="5" t="s">
        <v>62</v>
      </c>
      <c r="C55" s="14">
        <v>0.005</v>
      </c>
      <c r="D55" s="9">
        <f t="shared" ref="D55:D60" si="12">CONVERT(C55, "in", "mm")</f>
        <v>0.127</v>
      </c>
      <c r="E55" s="5" t="s">
        <v>63</v>
      </c>
    </row>
    <row r="56">
      <c r="A56" s="5" t="s">
        <v>64</v>
      </c>
      <c r="C56" s="14">
        <v>54.25</v>
      </c>
      <c r="D56" s="9">
        <f t="shared" si="12"/>
        <v>1377.95</v>
      </c>
    </row>
    <row r="57">
      <c r="A57" s="5" t="s">
        <v>65</v>
      </c>
      <c r="C57" s="14">
        <v>17.875</v>
      </c>
      <c r="D57" s="9">
        <f t="shared" si="12"/>
        <v>454.025</v>
      </c>
    </row>
    <row r="58">
      <c r="A58" s="5" t="s">
        <v>66</v>
      </c>
      <c r="C58" s="14">
        <v>9.0</v>
      </c>
      <c r="D58" s="9">
        <f t="shared" si="12"/>
        <v>228.6</v>
      </c>
    </row>
    <row r="59">
      <c r="A59" s="5" t="s">
        <v>67</v>
      </c>
      <c r="C59" s="14">
        <v>8.875</v>
      </c>
      <c r="D59" s="9">
        <f t="shared" si="12"/>
        <v>225.425</v>
      </c>
    </row>
    <row r="60">
      <c r="A60" s="5" t="s">
        <v>68</v>
      </c>
      <c r="C60" s="14">
        <v>4.75</v>
      </c>
      <c r="D60" s="9">
        <f t="shared" si="12"/>
        <v>120.65</v>
      </c>
    </row>
    <row r="61">
      <c r="A61" s="5" t="s">
        <v>69</v>
      </c>
    </row>
    <row r="62">
      <c r="A62" s="5"/>
      <c r="B62" s="5" t="s">
        <v>70</v>
      </c>
    </row>
    <row r="63">
      <c r="A63" s="5"/>
      <c r="B63" s="5" t="s">
        <v>71</v>
      </c>
      <c r="C63" s="14">
        <v>1.5</v>
      </c>
      <c r="D63" s="19">
        <f>CONVERT(C63, "in", "mm")</f>
        <v>38.1</v>
      </c>
    </row>
    <row r="64">
      <c r="A64" s="5"/>
      <c r="B64" s="5" t="s">
        <v>72</v>
      </c>
      <c r="C64" s="20">
        <f t="shared" ref="C64:C65" si="13">CONVERT(D64, "mm", "in")</f>
        <v>54.2519685</v>
      </c>
      <c r="D64" s="14">
        <v>1378.0</v>
      </c>
    </row>
    <row r="65">
      <c r="A65" s="5"/>
      <c r="B65" s="5" t="s">
        <v>73</v>
      </c>
      <c r="C65" s="20">
        <f t="shared" si="13"/>
        <v>57.24409449</v>
      </c>
      <c r="D65" s="14">
        <v>1454.0</v>
      </c>
    </row>
    <row r="66">
      <c r="A66" s="5" t="s">
        <v>74</v>
      </c>
    </row>
    <row r="67">
      <c r="B67" s="5" t="s">
        <v>71</v>
      </c>
      <c r="C67" s="14">
        <v>0.375</v>
      </c>
      <c r="D67" s="9">
        <f t="shared" ref="D67:D68" si="14">CONVERT(C67, "in", "mm")</f>
        <v>9.525</v>
      </c>
    </row>
    <row r="68">
      <c r="B68" s="5" t="s">
        <v>75</v>
      </c>
      <c r="C68" s="14">
        <v>60.0</v>
      </c>
      <c r="D68" s="9">
        <f t="shared" si="14"/>
        <v>1524</v>
      </c>
    </row>
    <row r="69">
      <c r="A69" s="18" t="s">
        <v>76</v>
      </c>
      <c r="I69" s="21"/>
      <c r="J69" s="21"/>
    </row>
    <row r="70">
      <c r="A70" s="5" t="s">
        <v>8</v>
      </c>
      <c r="C70" s="6">
        <f>CONVERT(D70, "mm", "in")</f>
        <v>0.2362204724</v>
      </c>
      <c r="D70" s="14">
        <v>6.0</v>
      </c>
      <c r="E70" s="14">
        <v>0.8</v>
      </c>
      <c r="F70" s="14">
        <v>20.0</v>
      </c>
      <c r="G70" s="9">
        <f>F70/2</f>
        <v>10</v>
      </c>
      <c r="H70" s="5" t="s">
        <v>77</v>
      </c>
      <c r="I70" s="21"/>
      <c r="J70" s="21"/>
    </row>
    <row r="71">
      <c r="A71" s="5" t="s">
        <v>78</v>
      </c>
      <c r="D71" s="19"/>
      <c r="E71" s="5"/>
      <c r="F71" s="5"/>
      <c r="H71" s="10"/>
    </row>
    <row r="72">
      <c r="A72" s="5" t="s">
        <v>10</v>
      </c>
      <c r="C72" s="10">
        <f t="shared" ref="C72:D72" si="15">E72-E70</f>
        <v>2.81</v>
      </c>
      <c r="D72" s="19">
        <f t="shared" si="15"/>
        <v>71.7</v>
      </c>
      <c r="E72" s="22">
        <v>3.61</v>
      </c>
      <c r="F72" s="22">
        <v>91.7</v>
      </c>
      <c r="G72" s="10">
        <f t="shared" ref="G72:G81" si="16">F72/2</f>
        <v>45.85</v>
      </c>
      <c r="H72" s="10"/>
    </row>
    <row r="73">
      <c r="A73" s="5" t="s">
        <v>79</v>
      </c>
      <c r="C73" s="14">
        <v>0.005</v>
      </c>
      <c r="D73" s="17">
        <f>CONVERT(C73, "in", "mm")</f>
        <v>0.127</v>
      </c>
      <c r="E73" s="7">
        <f>E72+(2*C73)</f>
        <v>3.62</v>
      </c>
      <c r="F73" s="17">
        <f t="shared" ref="F73:F81" si="18">CONVERT(E73, "in", "mm")</f>
        <v>91.948</v>
      </c>
      <c r="G73" s="17">
        <f t="shared" si="16"/>
        <v>45.974</v>
      </c>
      <c r="H73" s="10"/>
    </row>
    <row r="74">
      <c r="A74" s="5" t="s">
        <v>13</v>
      </c>
      <c r="C74" s="10">
        <f t="shared" ref="C74:D74" si="17">E74-E73</f>
        <v>5.13</v>
      </c>
      <c r="D74" s="17">
        <f t="shared" si="17"/>
        <v>130.302</v>
      </c>
      <c r="E74" s="15">
        <f>E75-(2*C75)</f>
        <v>8.75</v>
      </c>
      <c r="F74" s="10">
        <f t="shared" si="18"/>
        <v>222.25</v>
      </c>
      <c r="G74" s="17">
        <f t="shared" si="16"/>
        <v>111.125</v>
      </c>
      <c r="H74" s="10"/>
    </row>
    <row r="75">
      <c r="A75" s="5" t="s">
        <v>80</v>
      </c>
      <c r="C75" s="14">
        <v>0.125</v>
      </c>
      <c r="D75" s="17">
        <f t="shared" ref="D75:D81" si="19">CONVERT(C75, "in", "mm")</f>
        <v>3.175</v>
      </c>
      <c r="E75" s="14">
        <v>9.0</v>
      </c>
      <c r="F75" s="10">
        <f t="shared" si="18"/>
        <v>228.6</v>
      </c>
      <c r="G75" s="10">
        <f t="shared" si="16"/>
        <v>114.3</v>
      </c>
      <c r="H75" s="10"/>
    </row>
    <row r="76">
      <c r="A76" s="5" t="s">
        <v>17</v>
      </c>
      <c r="C76" s="14">
        <v>4.75</v>
      </c>
      <c r="D76" s="10">
        <f t="shared" si="19"/>
        <v>120.65</v>
      </c>
      <c r="E76" s="9">
        <f t="shared" ref="E76:E81" si="20">E75+(2*C76)</f>
        <v>18.5</v>
      </c>
      <c r="F76" s="10">
        <f t="shared" si="18"/>
        <v>469.9</v>
      </c>
      <c r="G76" s="10">
        <f t="shared" si="16"/>
        <v>234.95</v>
      </c>
      <c r="H76" s="10"/>
    </row>
    <row r="77">
      <c r="A77" s="5" t="s">
        <v>20</v>
      </c>
      <c r="C77" s="12">
        <f>0.125/2</f>
        <v>0.0625</v>
      </c>
      <c r="D77" s="10">
        <f t="shared" si="19"/>
        <v>1.5875</v>
      </c>
      <c r="E77" s="9">
        <f t="shared" si="20"/>
        <v>18.625</v>
      </c>
      <c r="F77" s="10">
        <f t="shared" si="18"/>
        <v>473.075</v>
      </c>
      <c r="G77" s="10">
        <f t="shared" si="16"/>
        <v>236.5375</v>
      </c>
      <c r="H77" s="10"/>
    </row>
    <row r="78">
      <c r="A78" s="5" t="s">
        <v>22</v>
      </c>
      <c r="C78" s="14">
        <v>8.75</v>
      </c>
      <c r="D78" s="10">
        <f t="shared" si="19"/>
        <v>222.25</v>
      </c>
      <c r="E78" s="17">
        <f t="shared" si="20"/>
        <v>36.125</v>
      </c>
      <c r="F78" s="10">
        <f t="shared" si="18"/>
        <v>917.575</v>
      </c>
      <c r="G78" s="10">
        <f t="shared" si="16"/>
        <v>458.7875</v>
      </c>
      <c r="H78" s="10"/>
    </row>
    <row r="79">
      <c r="A79" s="5" t="s">
        <v>20</v>
      </c>
      <c r="C79" s="12">
        <f>0.125/2</f>
        <v>0.0625</v>
      </c>
      <c r="D79" s="10">
        <f t="shared" si="19"/>
        <v>1.5875</v>
      </c>
      <c r="E79" s="10">
        <f t="shared" si="20"/>
        <v>36.25</v>
      </c>
      <c r="F79" s="10">
        <f t="shared" si="18"/>
        <v>920.75</v>
      </c>
      <c r="G79" s="10">
        <f t="shared" si="16"/>
        <v>460.375</v>
      </c>
      <c r="H79" s="10"/>
    </row>
    <row r="80">
      <c r="A80" s="5" t="s">
        <v>25</v>
      </c>
      <c r="C80" s="14">
        <v>9.0</v>
      </c>
      <c r="D80" s="10">
        <f t="shared" si="19"/>
        <v>228.6</v>
      </c>
      <c r="E80" s="23">
        <f t="shared" si="20"/>
        <v>54.25</v>
      </c>
      <c r="F80" s="10">
        <f t="shared" si="18"/>
        <v>1377.95</v>
      </c>
      <c r="G80" s="10">
        <f t="shared" si="16"/>
        <v>688.975</v>
      </c>
      <c r="H80" s="10"/>
    </row>
    <row r="81">
      <c r="A81" s="5" t="s">
        <v>81</v>
      </c>
      <c r="C81" s="15">
        <v>0.4375</v>
      </c>
      <c r="D81" s="10">
        <f t="shared" si="19"/>
        <v>11.1125</v>
      </c>
      <c r="E81" s="17">
        <f t="shared" si="20"/>
        <v>55.125</v>
      </c>
      <c r="F81" s="10">
        <f t="shared" si="18"/>
        <v>1400.175</v>
      </c>
      <c r="G81" s="10">
        <f t="shared" si="16"/>
        <v>700.0875</v>
      </c>
      <c r="H81" s="7"/>
    </row>
    <row r="82">
      <c r="A82" s="5"/>
      <c r="C82" s="5"/>
      <c r="D82" s="10"/>
      <c r="E82" s="19"/>
      <c r="F82" s="10"/>
      <c r="G82" s="10"/>
      <c r="H82" s="7"/>
    </row>
    <row r="83">
      <c r="A83" s="5" t="s">
        <v>82</v>
      </c>
      <c r="C83" s="14">
        <v>0.5</v>
      </c>
      <c r="D83" s="10">
        <f>CONVERT(C83, "in", "mm")</f>
        <v>12.7</v>
      </c>
      <c r="E83" s="19">
        <f>E81+(2*C83)</f>
        <v>56.125</v>
      </c>
      <c r="F83" s="10">
        <f>CONVERT(E83, "in", "mm")</f>
        <v>1425.575</v>
      </c>
      <c r="G83" s="10">
        <f>F83/2</f>
        <v>712.7875</v>
      </c>
      <c r="H83" s="7"/>
    </row>
    <row r="85">
      <c r="A85" s="5" t="s">
        <v>83</v>
      </c>
      <c r="D85" s="19"/>
      <c r="H85" s="10"/>
    </row>
    <row r="86">
      <c r="A86" s="5" t="s">
        <v>84</v>
      </c>
      <c r="D86" s="19"/>
      <c r="H86" s="10"/>
    </row>
    <row r="87">
      <c r="A87" s="5"/>
      <c r="D87" s="19"/>
      <c r="E87" s="5"/>
      <c r="F87" s="5"/>
      <c r="H87" s="10"/>
    </row>
    <row r="88">
      <c r="A88" s="5" t="s">
        <v>85</v>
      </c>
      <c r="D88" s="19"/>
      <c r="E88" s="5">
        <v>59.875</v>
      </c>
      <c r="F88" s="5">
        <v>1521.0</v>
      </c>
      <c r="G88" s="9">
        <f t="shared" ref="G88:G89" si="22">F88/2</f>
        <v>760.5</v>
      </c>
      <c r="H88" s="10"/>
    </row>
    <row r="89">
      <c r="A89" s="5" t="s">
        <v>86</v>
      </c>
      <c r="C89" s="24">
        <f t="shared" ref="C89:D89" si="21">E89-E88</f>
        <v>0.375</v>
      </c>
      <c r="D89" s="19">
        <f t="shared" si="21"/>
        <v>9</v>
      </c>
      <c r="E89" s="14">
        <v>60.25</v>
      </c>
      <c r="F89" s="5">
        <v>1530.0</v>
      </c>
      <c r="G89" s="9">
        <f t="shared" si="22"/>
        <v>765</v>
      </c>
      <c r="H89" s="10"/>
    </row>
    <row r="91">
      <c r="A91" s="5" t="s">
        <v>87</v>
      </c>
      <c r="C91" s="25">
        <v>17.875</v>
      </c>
      <c r="D91" s="17">
        <f>CONVERT(C91, "in", "mm")</f>
        <v>454.025</v>
      </c>
      <c r="E91" s="9">
        <f>sum(C78:C80)</f>
        <v>17.8125</v>
      </c>
      <c r="F91" s="26">
        <f>C91-E91</f>
        <v>0.0625</v>
      </c>
      <c r="G91" s="5" t="s">
        <v>88</v>
      </c>
    </row>
    <row r="92">
      <c r="E92" s="9">
        <f>CONVERT(E91, "in", "mm")</f>
        <v>452.4375</v>
      </c>
    </row>
    <row r="93">
      <c r="A93" s="5" t="s">
        <v>89</v>
      </c>
      <c r="C93" s="25">
        <v>17.875</v>
      </c>
      <c r="D93" s="17">
        <f>CONVERT(C93, "in", "mm")</f>
        <v>454.025</v>
      </c>
      <c r="E93" s="9">
        <f>sum(C77:C80)</f>
        <v>17.875</v>
      </c>
      <c r="F93" s="26">
        <f>C93-E93</f>
        <v>0</v>
      </c>
      <c r="G93" s="5" t="s">
        <v>88</v>
      </c>
    </row>
    <row r="94">
      <c r="E94" s="9">
        <f>CONVERT(E93, "in", "mm")</f>
        <v>454.025</v>
      </c>
    </row>
    <row r="95">
      <c r="A95" s="18" t="s">
        <v>90</v>
      </c>
    </row>
    <row r="96">
      <c r="A96" s="5" t="s">
        <v>91</v>
      </c>
      <c r="C96" s="13">
        <v>8.75</v>
      </c>
      <c r="D96" s="9">
        <f t="shared" ref="D96:D106" si="23">CONVERT(C96, "in", "mm")</f>
        <v>222.25</v>
      </c>
    </row>
    <row r="97">
      <c r="A97" s="5" t="s">
        <v>92</v>
      </c>
      <c r="C97" s="13">
        <v>0.125</v>
      </c>
      <c r="D97" s="9">
        <f t="shared" si="23"/>
        <v>3.175</v>
      </c>
    </row>
    <row r="98">
      <c r="A98" s="5" t="s">
        <v>93</v>
      </c>
      <c r="C98" s="13">
        <v>18.5</v>
      </c>
      <c r="D98" s="9">
        <f t="shared" si="23"/>
        <v>469.9</v>
      </c>
    </row>
    <row r="99">
      <c r="A99" s="5" t="s">
        <v>94</v>
      </c>
      <c r="C99" s="13">
        <v>8.875</v>
      </c>
      <c r="D99" s="9">
        <f t="shared" si="23"/>
        <v>225.425</v>
      </c>
    </row>
    <row r="100">
      <c r="A100" s="5" t="s">
        <v>95</v>
      </c>
      <c r="C100" s="13">
        <v>9.0</v>
      </c>
      <c r="D100" s="9">
        <f t="shared" si="23"/>
        <v>228.6</v>
      </c>
    </row>
    <row r="101">
      <c r="A101" s="5" t="s">
        <v>96</v>
      </c>
      <c r="C101" s="13">
        <v>11.25</v>
      </c>
      <c r="D101" s="9">
        <f t="shared" si="23"/>
        <v>285.75</v>
      </c>
    </row>
    <row r="102">
      <c r="A102" s="5" t="s">
        <v>97</v>
      </c>
      <c r="C102" s="13">
        <v>18.0</v>
      </c>
      <c r="D102" s="9">
        <f t="shared" si="23"/>
        <v>457.2</v>
      </c>
    </row>
    <row r="103">
      <c r="A103" s="5" t="s">
        <v>98</v>
      </c>
      <c r="C103" s="13">
        <v>54.375</v>
      </c>
      <c r="D103" s="9">
        <f t="shared" si="23"/>
        <v>1381.125</v>
      </c>
    </row>
    <row r="104">
      <c r="A104" s="5" t="s">
        <v>99</v>
      </c>
      <c r="C104" s="15">
        <f>(C105-C103)/2</f>
        <v>0.4375</v>
      </c>
      <c r="D104" s="9">
        <f t="shared" si="23"/>
        <v>11.1125</v>
      </c>
    </row>
    <row r="105">
      <c r="A105" s="5" t="s">
        <v>83</v>
      </c>
      <c r="C105" s="13">
        <v>55.25</v>
      </c>
      <c r="D105" s="9">
        <f t="shared" si="23"/>
        <v>1403.35</v>
      </c>
    </row>
    <row r="106">
      <c r="A106" s="5" t="s">
        <v>100</v>
      </c>
      <c r="C106" s="13">
        <v>1.0</v>
      </c>
      <c r="D106" s="9">
        <f t="shared" si="23"/>
        <v>25.4</v>
      </c>
    </row>
    <row r="108">
      <c r="A108" s="5" t="s">
        <v>101</v>
      </c>
    </row>
    <row r="109">
      <c r="B109" s="5" t="s">
        <v>102</v>
      </c>
      <c r="C109" s="13">
        <v>128.375</v>
      </c>
      <c r="D109" s="9">
        <f t="shared" ref="D109:D111" si="24">CONVERT(C109, "in", "mm")</f>
        <v>3260.725</v>
      </c>
    </row>
    <row r="110">
      <c r="B110" s="5" t="s">
        <v>103</v>
      </c>
      <c r="C110" s="13">
        <v>60.25</v>
      </c>
      <c r="D110" s="10">
        <f t="shared" si="24"/>
        <v>1530.35</v>
      </c>
    </row>
    <row r="111">
      <c r="A111" s="5" t="s">
        <v>104</v>
      </c>
      <c r="B111" s="5" t="s">
        <v>105</v>
      </c>
      <c r="C111" s="13">
        <v>0.375</v>
      </c>
      <c r="D111" s="17">
        <f t="shared" si="24"/>
        <v>9.525</v>
      </c>
    </row>
    <row r="112">
      <c r="A112" s="5" t="s">
        <v>106</v>
      </c>
      <c r="C112" s="5" t="s">
        <v>107</v>
      </c>
    </row>
  </sheetData>
  <mergeCells count="2">
    <mergeCell ref="C1:D1"/>
    <mergeCell ref="E1:F1"/>
  </mergeCells>
  <hyperlinks>
    <hyperlink r:id="rId1" ref="A21"/>
    <hyperlink r:id="rId2" ref="A5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</cols>
  <sheetData>
    <row r="1">
      <c r="A1" s="1"/>
      <c r="B1" s="1"/>
      <c r="C1" s="27"/>
      <c r="D1" s="1" t="s">
        <v>108</v>
      </c>
      <c r="E1" s="28"/>
      <c r="F1" s="1" t="s">
        <v>109</v>
      </c>
      <c r="G1" s="28"/>
      <c r="I1" s="1" t="s">
        <v>108</v>
      </c>
    </row>
    <row r="2">
      <c r="A2" s="29"/>
      <c r="B2" s="2"/>
      <c r="C2" s="30"/>
      <c r="D2" s="2" t="s">
        <v>110</v>
      </c>
      <c r="E2" s="31" t="s">
        <v>111</v>
      </c>
      <c r="F2" s="2" t="s">
        <v>110</v>
      </c>
      <c r="G2" s="31" t="s">
        <v>111</v>
      </c>
      <c r="H2" s="5" t="s">
        <v>112</v>
      </c>
      <c r="I2" s="3" t="s">
        <v>5</v>
      </c>
    </row>
    <row r="3">
      <c r="A3" s="1" t="s">
        <v>113</v>
      </c>
      <c r="B3" s="5"/>
      <c r="C3" s="32"/>
      <c r="E3" s="32"/>
      <c r="G3" s="32"/>
    </row>
    <row r="4">
      <c r="A4" s="5"/>
      <c r="B4" s="5" t="s">
        <v>25</v>
      </c>
      <c r="C4" s="32"/>
      <c r="E4" s="32"/>
      <c r="G4" s="32"/>
    </row>
    <row r="5">
      <c r="C5" s="33" t="s">
        <v>114</v>
      </c>
      <c r="D5" s="5">
        <v>278.675</v>
      </c>
      <c r="E5" s="34">
        <f t="shared" ref="E5:E7" si="1">D5/4</f>
        <v>69.66875</v>
      </c>
      <c r="G5" s="33">
        <v>68.94</v>
      </c>
      <c r="H5" s="10">
        <f t="shared" ref="H5:H7" si="2">E5-G5</f>
        <v>0.72875</v>
      </c>
      <c r="I5" s="17">
        <f t="shared" ref="I5:I7" si="3">D5/25.4</f>
        <v>10.97145669</v>
      </c>
    </row>
    <row r="6">
      <c r="C6" s="33" t="s">
        <v>115</v>
      </c>
      <c r="D6" s="5">
        <v>224.411</v>
      </c>
      <c r="E6" s="34">
        <f t="shared" si="1"/>
        <v>56.10275</v>
      </c>
      <c r="G6" s="33">
        <v>55.8</v>
      </c>
      <c r="H6" s="10">
        <f t="shared" si="2"/>
        <v>0.30275</v>
      </c>
      <c r="I6" s="17">
        <f t="shared" si="3"/>
        <v>8.83507874</v>
      </c>
    </row>
    <row r="7">
      <c r="C7" s="33" t="s">
        <v>116</v>
      </c>
      <c r="D7" s="5">
        <v>187.268</v>
      </c>
      <c r="E7" s="34">
        <f t="shared" si="1"/>
        <v>46.817</v>
      </c>
      <c r="G7" s="33">
        <v>45.75</v>
      </c>
      <c r="H7" s="10">
        <f t="shared" si="2"/>
        <v>1.067</v>
      </c>
      <c r="I7" s="17">
        <f t="shared" si="3"/>
        <v>7.372755906</v>
      </c>
    </row>
    <row r="8">
      <c r="B8" s="5" t="s">
        <v>22</v>
      </c>
      <c r="C8" s="32"/>
      <c r="E8" s="34"/>
      <c r="G8" s="32"/>
      <c r="I8" s="17"/>
    </row>
    <row r="9">
      <c r="C9" s="33" t="s">
        <v>114</v>
      </c>
      <c r="D9" s="5">
        <v>186.864</v>
      </c>
      <c r="E9" s="34">
        <f t="shared" ref="E9:E11" si="4">D9/4</f>
        <v>46.716</v>
      </c>
      <c r="G9" s="33">
        <v>45.88</v>
      </c>
      <c r="H9" s="10">
        <f t="shared" ref="H9:H11" si="5">E9-G9</f>
        <v>0.836</v>
      </c>
      <c r="I9" s="17">
        <f t="shared" ref="I9:I11" si="6">D9/25.4</f>
        <v>7.356850394</v>
      </c>
    </row>
    <row r="10">
      <c r="C10" s="33" t="s">
        <v>115</v>
      </c>
      <c r="D10" s="5">
        <v>228.58</v>
      </c>
      <c r="E10" s="34">
        <f t="shared" si="4"/>
        <v>57.145</v>
      </c>
      <c r="G10" s="33">
        <v>56.56</v>
      </c>
      <c r="H10" s="10">
        <f t="shared" si="5"/>
        <v>0.585</v>
      </c>
      <c r="I10" s="17">
        <f t="shared" si="6"/>
        <v>8.999212598</v>
      </c>
    </row>
    <row r="11">
      <c r="C11" s="33" t="s">
        <v>116</v>
      </c>
      <c r="D11" s="5">
        <v>97.297</v>
      </c>
      <c r="E11" s="34">
        <f t="shared" si="4"/>
        <v>24.32425</v>
      </c>
      <c r="G11" s="33">
        <v>23.35</v>
      </c>
      <c r="H11" s="10">
        <f t="shared" si="5"/>
        <v>0.97425</v>
      </c>
      <c r="I11" s="17">
        <f t="shared" si="6"/>
        <v>3.830590551</v>
      </c>
    </row>
    <row r="12">
      <c r="A12" s="18" t="s">
        <v>117</v>
      </c>
      <c r="B12" s="5"/>
      <c r="C12" s="32"/>
      <c r="E12" s="34"/>
      <c r="G12" s="32"/>
      <c r="I12" s="17"/>
    </row>
    <row r="13">
      <c r="A13" s="5"/>
      <c r="B13" s="5" t="s">
        <v>25</v>
      </c>
      <c r="C13" s="32"/>
      <c r="E13" s="34"/>
      <c r="G13" s="32"/>
      <c r="I13" s="17"/>
    </row>
    <row r="14">
      <c r="C14" s="33" t="s">
        <v>114</v>
      </c>
      <c r="D14" s="5">
        <v>277.784</v>
      </c>
      <c r="E14" s="34">
        <f t="shared" ref="E14:E16" si="7">D14/4</f>
        <v>69.446</v>
      </c>
      <c r="G14" s="33">
        <v>68.52</v>
      </c>
      <c r="H14" s="10">
        <f t="shared" ref="H14:H16" si="8">E14-G14</f>
        <v>0.926</v>
      </c>
      <c r="I14" s="17">
        <f t="shared" ref="I14:I16" si="9">D14/25.4</f>
        <v>10.93637795</v>
      </c>
    </row>
    <row r="15">
      <c r="C15" s="33" t="s">
        <v>115</v>
      </c>
      <c r="D15" s="5">
        <v>224.343</v>
      </c>
      <c r="E15" s="34">
        <f t="shared" si="7"/>
        <v>56.08575</v>
      </c>
      <c r="G15" s="33">
        <v>56.15</v>
      </c>
      <c r="H15" s="10">
        <f t="shared" si="8"/>
        <v>-0.06425</v>
      </c>
      <c r="I15" s="17">
        <f t="shared" si="9"/>
        <v>8.832401575</v>
      </c>
    </row>
    <row r="16">
      <c r="C16" s="33" t="s">
        <v>116</v>
      </c>
      <c r="D16" s="5">
        <v>187.835</v>
      </c>
      <c r="E16" s="34">
        <f t="shared" si="7"/>
        <v>46.95875</v>
      </c>
      <c r="G16" s="33">
        <v>45.64</v>
      </c>
      <c r="H16" s="10">
        <f t="shared" si="8"/>
        <v>1.31875</v>
      </c>
      <c r="I16" s="17">
        <f t="shared" si="9"/>
        <v>7.39507874</v>
      </c>
    </row>
    <row r="17">
      <c r="B17" s="5" t="s">
        <v>22</v>
      </c>
      <c r="C17" s="32"/>
      <c r="E17" s="34"/>
      <c r="G17" s="32"/>
      <c r="I17" s="17"/>
    </row>
    <row r="18">
      <c r="C18" s="33" t="s">
        <v>114</v>
      </c>
      <c r="D18" s="5">
        <v>186.835</v>
      </c>
      <c r="E18" s="34">
        <f t="shared" ref="E18:E20" si="10">D18/4</f>
        <v>46.70875</v>
      </c>
      <c r="G18" s="33">
        <v>49.91</v>
      </c>
      <c r="H18" s="10">
        <f t="shared" ref="H18:H20" si="11">E18-G18</f>
        <v>-3.20125</v>
      </c>
      <c r="I18" s="17">
        <f t="shared" ref="I18:I20" si="12">D18/25.4</f>
        <v>7.355708661</v>
      </c>
    </row>
    <row r="19">
      <c r="C19" s="33" t="s">
        <v>115</v>
      </c>
      <c r="D19" s="5">
        <v>224.517</v>
      </c>
      <c r="E19" s="34">
        <f t="shared" si="10"/>
        <v>56.12925</v>
      </c>
      <c r="G19" s="33">
        <v>56.86</v>
      </c>
      <c r="H19" s="10">
        <f t="shared" si="11"/>
        <v>-0.73075</v>
      </c>
      <c r="I19" s="17">
        <f t="shared" si="12"/>
        <v>8.839251969</v>
      </c>
    </row>
    <row r="20">
      <c r="C20" s="33" t="s">
        <v>116</v>
      </c>
      <c r="D20" s="5">
        <v>94.276</v>
      </c>
      <c r="E20" s="34">
        <f t="shared" si="10"/>
        <v>23.569</v>
      </c>
      <c r="G20" s="33">
        <v>23.0</v>
      </c>
      <c r="H20" s="10">
        <f t="shared" si="11"/>
        <v>0.569</v>
      </c>
      <c r="I20" s="17">
        <f t="shared" si="12"/>
        <v>3.711653543</v>
      </c>
    </row>
  </sheetData>
  <mergeCells count="2">
    <mergeCell ref="D1:E1"/>
    <mergeCell ref="F1:G1"/>
  </mergeCells>
  <drawing r:id="rId1"/>
</worksheet>
</file>